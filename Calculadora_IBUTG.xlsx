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IBUTG Mé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<sst xmlns="http://schemas.openxmlformats.org/spreadsheetml/2006/main" count="6" uniqueCount="6">
  <si>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Calculadora IBUTG Médio</t>
  </si>
  <si>
    <t>IBUTG</t>
  </si>
  <si>
    <t>Tempo(min)</t>
  </si>
  <si>
    <t>IBUTG Médio:</t>
  </si>
  <si>
    <t>Tempo Informado:</t>
  </si>
  <si>
    <t>Número de medições: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</si>
</sst>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 "/>
    <numFmt numFmtId="181" formatCode="0_ "/>
    <numFmt numFmtId="182" formatCode="0.00\ &quot;°C&quot;"/>
    <numFmt numFmtId="183" formatCode="00\ &quot;min&quot;"/>
  </numFmts>
  <fonts count="27">
    <font>
      <sz val="10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2"/>
      <color theme="1"/>
      <name val="Arial"/>
      <charset val="134"/>
    </font>
    <font>
      <sz val="10"/>
      <color theme="0"/>
      <name val="Calibri"/>
      <charset val="134"/>
      <scheme val="minor"/>
    </font>
    <font>
      <sz val="12"/>
      <color theme="1"/>
      <name val="Arial"/>
      <charset val="134"/>
    </font>
    <font>
      <sz val="12"/>
      <color theme="1"/>
      <name val="Calibri"/>
      <charset val="134"/>
      <scheme val="minor"/>
    </font>
    <font>
      <sz val="12"/>
      <color theme="0"/>
      <name val="Arial"/>
      <charset val="134"/>
    </font>
    <font>
      <b/>
      <sz val="12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2" fillId="3" borderId="1" xfId="0" applyFont="1" applyFill="1" applyBorder="1">
      <alignment vertical="center"/>
    </xf>
    <xf numFmtId="182" fontId="4" fillId="3" borderId="1" xfId="0" applyNumberFormat="1" applyFont="1" applyFill="1" applyBorder="1" applyAlignment="1">
      <alignment horizontal="left" vertical="center"/>
    </xf>
    <xf numFmtId="180" fontId="5" fillId="0" borderId="1" xfId="0" applyNumberFormat="1" applyFont="1" applyBorder="1" applyAlignment="1">
      <alignment vertical="center" wrapText="1"/>
    </xf>
    <xf numFmtId="181" fontId="5" fillId="0" borderId="1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183" fontId="4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80" fontId="0" fillId="0" borderId="0" xfId="0" applyNumberFormat="1" applyBorder="1">
      <alignment vertical="center"/>
    </xf>
    <xf numFmtId="181" fontId="0" fillId="0" borderId="0" xfId="0" applyNumberFormat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6">
    <dxf>
      <numFmt numFmtId="180" formatCode="0.00_ "/>
      <border>
        <diagonal/>
      </border>
    </dxf>
    <dxf>
      <numFmt numFmtId="181" formatCode="0_ "/>
      <border>
        <diagonal/>
      </border>
    </dxf>
    <dxf>
      <fill>
        <patternFill patternType="solid">
          <fgColor theme="9" tint="0.799981688894314"/>
          <bgColor theme="9" tint="0.799981688894314"/>
        </patternFill>
      </fill>
    </dxf>
    <dxf>
      <fill>
        <patternFill patternType="solid">
          <fgColor theme="9" tint="0.799981688894314"/>
          <bgColor theme="9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9"/>
        </top>
      </border>
    </dxf>
    <dxf>
      <font>
        <b val="1"/>
        <color theme="1"/>
      </font>
      <border>
        <bottom style="medium">
          <color theme="9"/>
        </bottom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399975585192419"/>
        </vertical>
        <horizontal style="thin">
          <color theme="9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2_Accent6" pivot="0" count="7" xr9:uid="{FFB1D415-86EC-4A03-A85C-79C7642A0C71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bIBUTG" displayName="tbIBUTG" ref="B2:C6" totalsRowShown="0">
  <autoFilter xmlns:etc="http://www.wps.cn/officeDocument/2017/etCustomData" ref="B2:C6" etc:filterBottomFollowUsedRange="0"/>
  <tableColumns count="2">
    <tableColumn id="1" name="IBUTG" dataDxfId="0"/>
    <tableColumn id="2" name="Tempo(min)" dataDxfId="1"/>
  </tableColumns>
  <tableStyleInfo name="TableStylePreset2_Accent6" showFirstColumn="0" showLastColumn="1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"/>
  <sheetViews>
    <sheetView tabSelected="1" workbookViewId="0">
      <selection activeCell="F16" sqref="F16"/>
    </sheetView>
  </sheetViews>
  <sheetFormatPr defaultColWidth="9.14285714285714" defaultRowHeight="12.75" outlineLevelRow="5" outlineLevelCol="6"/>
  <cols>
    <col min="2" max="2" width="18.4285714285714" customWidth="1"/>
    <col min="3" max="3" width="21" customWidth="1"/>
    <col min="5" max="5" width="25.2857142857143" customWidth="1"/>
    <col min="6" max="6" width="16.2857142857143" customWidth="1"/>
  </cols>
  <sheetData>
    <row r="1" ht="18" spans="2:6">
      <c r="B1" s="1" t="s">
        <v>0</v>
      </c>
      <c r="C1" s="1"/>
      <c r="D1" s="1"/>
      <c r="E1" s="1"/>
      <c r="F1" s="1"/>
    </row>
    <row r="2" ht="15.75" spans="2:6">
      <c r="B2" s="2" t="s">
        <v>1</v>
      </c>
      <c r="C2" s="3" t="s">
        <v>2</v>
      </c>
      <c r="D2" s="4"/>
      <c r="E2" s="5" t="s">
        <v>3</v>
      </c>
      <c r="F2" s="6">
        <f>IF(COUNTA(tbIBUTG[IBUTG])=COUNTA(tbIBUTG[Tempo(min)]),F3,"00")</f>
        <v>28.1333333333333</v>
      </c>
    </row>
    <row r="3" ht="15.75" spans="2:7">
      <c r="B3" s="7">
        <v>28.2</v>
      </c>
      <c r="C3" s="8">
        <v>20</v>
      </c>
      <c r="E3" s="9">
        <f>SUM(tbIBUTG[Tempo(min)])</f>
        <v>60</v>
      </c>
      <c r="F3" s="10" cm="1">
        <f t="array" ref="F3">SUMPRODUCT(tbIBUTG[IBUTG],tbIBUTG[Tempo(min)])/60</f>
        <v>28.1333333333333</v>
      </c>
      <c r="G3" s="11" t="str">
        <f>IF(COUNTA(tbIBUTG[IBUTG])=COUNTA(tbIBUTG[Tempo(min)]),COUNTA(tbIBUTG[IBUTG])&amp;" medições")</f>
        <v>3 medições</v>
      </c>
    </row>
    <row r="4" ht="15.75" spans="2:6">
      <c r="B4" s="7">
        <v>29.1</v>
      </c>
      <c r="C4" s="8">
        <v>15</v>
      </c>
      <c r="E4" s="12" t="s">
        <v>4</v>
      </c>
      <c r="F4" s="13">
        <f>IF(COUNTA(tbIBUTG[IBUTG])=COUNTA(tbIBUTG[Tempo(min)]),E3,"00")</f>
        <v>60</v>
      </c>
    </row>
    <row r="5" ht="15.75" spans="2:6">
      <c r="B5" s="7">
        <v>27.5</v>
      </c>
      <c r="C5" s="8">
        <v>25</v>
      </c>
      <c r="E5" s="14" t="str">
        <f>IF(COUNTA(tbIBUTG[IBUTG])=COUNTA(tbIBUTG[Tempo(min)]),"","Complete todas as medições")</f>
        <v/>
      </c>
      <c r="F5" s="15"/>
    </row>
    <row r="6" ht="15.75" spans="2:6">
      <c r="B6" s="16"/>
      <c r="C6" s="17"/>
      <c r="E6" s="12" t="s">
        <v>5</v>
      </c>
      <c r="F6" s="18" t="str">
        <f>IF(COUNTA(tbIBUTG[IBUTG])=COUNTA(tbIBUTG[Tempo(min)]),G3,"")</f>
        <v>3 medições</v>
      </c>
    </row>
  </sheetData>
  <mergeCells count="2">
    <mergeCell ref="B1:F1"/>
    <mergeCell ref="E5:F5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IBUTG Médio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BruceKenway</dc:creator>
  <cp:lastModifiedBy>Hoskar</cp:lastModifiedBy>
  <dcterms:created xsi:type="dcterms:W3CDTF">2026-07-04T22:30:02Z</dcterms:created>
  <dcterms:modified xsi:type="dcterms:W3CDTF">2026-07-05T00:09:38Z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D39A5B14511D4BAC8FA7D1458756A72A_11</vt:lpwstr>
  </property>
  <property fmtid="{D5CDD505-2E9C-101B-9397-08002B2CF9AE}" pid="3" name="KSOProductBuildVer">
    <vt:lpwstr>1046-12.2.0.23206</vt:lpwstr>
  </property>
</Properties>
</file>